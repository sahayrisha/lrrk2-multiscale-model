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3c6a2939630bb790/Documents/PD/"/>
    </mc:Choice>
  </mc:AlternateContent>
  <xr:revisionPtr revIDLastSave="15" documentId="11_B04EBEEAC4C16E3799985400809E10079E12F2C2" xr6:coauthVersionLast="47" xr6:coauthVersionMax="47" xr10:uidLastSave="{06FCA8B5-D810-4EDD-B9C1-E42BCC2B35F2}"/>
  <bookViews>
    <workbookView xWindow="39870" yWindow="1470" windowWidth="21600" windowHeight="11055" tabRatio="500" xr2:uid="{00000000-000D-0000-FFFF-FFFF00000000}"/>
  </bookViews>
  <sheets>
    <sheet name="Free Parameters" sheetId="1" r:id="rId1"/>
    <sheet name="Fixed Parameters" sheetId="2" r:id="rId2"/>
    <sheet name="Validation" sheetId="3" r:id="rId3"/>
    <sheet name="Outputs"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1" i="4" l="1"/>
  <c r="B10" i="4"/>
  <c r="B9" i="4"/>
  <c r="B12" i="4" s="1"/>
  <c r="H6" i="4"/>
  <c r="H5" i="4"/>
  <c r="H4" i="4"/>
  <c r="H3" i="4"/>
  <c r="H2" i="4"/>
  <c r="B14" i="4" l="1"/>
  <c r="B13" i="4"/>
</calcChain>
</file>

<file path=xl/sharedStrings.xml><?xml version="1.0" encoding="utf-8"?>
<sst xmlns="http://schemas.openxmlformats.org/spreadsheetml/2006/main" count="151" uniqueCount="128">
  <si>
    <t>Parameter</t>
  </si>
  <si>
    <t>Value</t>
  </si>
  <si>
    <t>Units</t>
  </si>
  <si>
    <t>Bounds searched</t>
  </si>
  <si>
    <t>Source</t>
  </si>
  <si>
    <t>Notes</t>
  </si>
  <si>
    <t>V_lrrk2</t>
  </si>
  <si>
    <t>uM/s</t>
  </si>
  <si>
    <t>0.02 to 0.12</t>
  </si>
  <si>
    <t>West (2005); Steger (2017); rescaled per Fan (2018)</t>
  </si>
  <si>
    <t>WT max velocity. Rescaled by the same scalar s as k_dephos (both must scale together to preserve the Vmax*Rab/(Km+Rab)=k_dephos*pRab35 steady-state balance -- see verify_timescale_correction.py).</t>
  </si>
  <si>
    <t>g2019s_kin</t>
  </si>
  <si>
    <t>-</t>
  </si>
  <si>
    <t>1.4 to 2.2</t>
  </si>
  <si>
    <t>Atashrazm (2021); Fan (2018)</t>
  </si>
  <si>
    <t>Cellular pRab data, not in vitro autophosphorylation</t>
  </si>
  <si>
    <t>Km_lrrk2</t>
  </si>
  <si>
    <t>uM</t>
  </si>
  <si>
    <t>0.3 to 3.0</t>
  </si>
  <si>
    <t>Sheng (2012)</t>
  </si>
  <si>
    <t>Comparable to substrate concentration</t>
  </si>
  <si>
    <t>k_dephos</t>
  </si>
  <si>
    <t>1/s</t>
  </si>
  <si>
    <t>0.03 to 0.2</t>
  </si>
  <si>
    <t>Berndsen (2019); rescaled per Fan (2018)</t>
  </si>
  <si>
    <t>PPM1H. Raw fit ~0.153/s rescaled by literature-anchored scalar s=0.041117 (see verify_timescale_correction.py) so pRab35 decay matches Fan et al. (2018) Rab10 dephosphorylation window (1-10 min); T1-T6/CI proven invariant to this rescaling.</t>
  </si>
  <si>
    <t>k_prod_WT</t>
  </si>
  <si>
    <t>0.001 to 0.01</t>
  </si>
  <si>
    <t>Vivacqua (2011)</t>
  </si>
  <si>
    <t>Wildtype synthesis</t>
  </si>
  <si>
    <t>g2019s_prod</t>
  </si>
  <si>
    <t>1.05 to 1.6</t>
  </si>
  <si>
    <t>Volpicelli-Daley (2016)</t>
  </si>
  <si>
    <t>NEW in v3: genotype-dependent synthesis [item 21]</t>
  </si>
  <si>
    <t>Vmax_CMA</t>
  </si>
  <si>
    <t>0.003 to 0.15</t>
  </si>
  <si>
    <t>Cuervo (2004); Xilouri (2013)</t>
  </si>
  <si>
    <t>Per unit LAMP-2A</t>
  </si>
  <si>
    <t>k_nuc</t>
  </si>
  <si>
    <t>1/(uM s)</t>
  </si>
  <si>
    <t>0.05 to 2.0</t>
  </si>
  <si>
    <t>Cremades (2012)</t>
  </si>
  <si>
    <t>Primary nucleation</t>
  </si>
  <si>
    <t>Vmax_clear</t>
  </si>
  <si>
    <t>0.02 to 0.6</t>
  </si>
  <si>
    <t>Xilouri (2013)</t>
  </si>
  <si>
    <t>SHARED-POOL SINK: enables synergy</t>
  </si>
  <si>
    <t>Km_MVB</t>
  </si>
  <si>
    <t>0.02 to 0.5</t>
  </si>
  <si>
    <t>No direct source</t>
  </si>
  <si>
    <t>Profiled over 40-fold range [item 22]</t>
  </si>
  <si>
    <t>k_load</t>
  </si>
  <si>
    <t>0.01 to 1.0</t>
  </si>
  <si>
    <t>Minakaki (2018)</t>
  </si>
  <si>
    <t>Carries export magnitude after MVB normalisation</t>
  </si>
  <si>
    <t>Km_load</t>
  </si>
  <si>
    <t>0.1 to 2.0</t>
  </si>
  <si>
    <t>Fusco (2016)</t>
  </si>
  <si>
    <t>Loading half-saturation</t>
  </si>
  <si>
    <t>Why fixed rather than calibrated</t>
  </si>
  <si>
    <t>Km_CMA</t>
  </si>
  <si>
    <t>PINNED to Dice (2007). Only Vmax_CMA/Km_CMA is identifiable in the sub-saturating regime; pinning the denominator makes the numerator identifiable.</t>
  </si>
  <si>
    <t>Km_clear</t>
  </si>
  <si>
    <t>PINNED to Dice (2007).</t>
  </si>
  <si>
    <t>k_deg_MVB</t>
  </si>
  <si>
    <t>PINNED to Hessvik &amp; Llorente (2018), and set equal to k_MVB so the MVB pool is a fractional occupancy in [0,1].</t>
  </si>
  <si>
    <t>k_secrete</t>
  </si>
  <si>
    <t>DECLARED NUISANCE. At steady state secretion flux equals loading flux, so this parameter sets only the standing exosomal concentration and is invisible to any flux measurement. Excluded from calibration by construction.</t>
  </si>
  <si>
    <t>k_MVB</t>
  </si>
  <si>
    <t>PINNED EQUAL TO k_deg_MVB. MVB enters only the loading flux and only linearly, so k_load x k_MVB / k_deg_MVB is the sole identifiable product. This normalisation removes the final degeneracy and makes the free set full rank.</t>
  </si>
  <si>
    <t>Ki_CMA</t>
  </si>
  <si>
    <t>REMOVED</t>
  </si>
  <si>
    <t>DELETED in v3. Unidentifiable (v2 null direction 2) and its ablation effect was dCI = +0.00002. At physiological alpha-syn levels the system sits far below Ki so the term is invisible. CMA self-inhibition cannot be constrained by steady-state data.</t>
  </si>
  <si>
    <t>ID</t>
  </si>
  <si>
    <t>Checkpoint</t>
  </si>
  <si>
    <t>Target</t>
  </si>
  <si>
    <t>T1</t>
  </si>
  <si>
    <t>Exosomal a-syn fold increase in disease</t>
  </si>
  <si>
    <t>Emmanouilidou (2010)</t>
  </si>
  <si>
    <t>2.0-4.0x</t>
  </si>
  <si>
    <t>2.81x</t>
  </si>
  <si>
    <t>PASS</t>
  </si>
  <si>
    <t>T2</t>
  </si>
  <si>
    <t>pRab35 fold change G2019S vs WT</t>
  </si>
  <si>
    <t>Knock-in Rab phospho data</t>
  </si>
  <si>
    <t>1.5-3.0x</t>
  </si>
  <si>
    <t>2.00x</t>
  </si>
  <si>
    <t>T3</t>
  </si>
  <si>
    <t>Aggregate fraction in wildtype</t>
  </si>
  <si>
    <t>Fauvet (2012)</t>
  </si>
  <si>
    <t>0.10-0.20</t>
  </si>
  <si>
    <t>0.151</t>
  </si>
  <si>
    <t>T4</t>
  </si>
  <si>
    <t>Total a-syn disease vs healthy</t>
  </si>
  <si>
    <t>1.2-2.5x</t>
  </si>
  <si>
    <t>1.45x</t>
  </si>
  <si>
    <t>T5</t>
  </si>
  <si>
    <t>Combined export vs healthy</t>
  </si>
  <si>
    <t>On-target liability</t>
  </si>
  <si>
    <t>&gt;= 0.30x</t>
  </si>
  <si>
    <t>1.06x</t>
  </si>
  <si>
    <t>T6</t>
  </si>
  <si>
    <t>Single-agent potency both arms</t>
  </si>
  <si>
    <t>Non-degeneracy</t>
  </si>
  <si>
    <t>25-65%</t>
  </si>
  <si>
    <t>26%/36%</t>
  </si>
  <si>
    <t>Condition</t>
  </si>
  <si>
    <t>pRab35</t>
  </si>
  <si>
    <t>soluble a-syn</t>
  </si>
  <si>
    <t>aggregate</t>
  </si>
  <si>
    <t>MVB occupancy</t>
  </si>
  <si>
    <t>exosomal</t>
  </si>
  <si>
    <t>secretion flux</t>
  </si>
  <si>
    <t>flux vs control</t>
  </si>
  <si>
    <t>wildtype</t>
  </si>
  <si>
    <t>control</t>
  </si>
  <si>
    <t>rab35i</t>
  </si>
  <si>
    <t>lamp2a</t>
  </si>
  <si>
    <t>combined</t>
  </si>
  <si>
    <t>SYNERGY (molecular endpoint)</t>
  </si>
  <si>
    <t>f_rab35i</t>
  </si>
  <si>
    <t>f_lamp2a</t>
  </si>
  <si>
    <t>f_combined</t>
  </si>
  <si>
    <t>Bliss expected</t>
  </si>
  <si>
    <t>Combination Index</t>
  </si>
  <si>
    <t>Bliss excess (pp)</t>
  </si>
  <si>
    <t>Model</t>
  </si>
  <si>
    <t>Verdict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</si>
</sst>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
  </numFmts>
  <fonts count="8" x14ac:knownFonts="1">
    <font>
      <sz val="11"/>
      <color theme="1"/>
      <name val="Calibri"/>
      <family val="2"/>
      <charset val="1"/>
    </font>
    <font>
      <b/>
      <sz val="10"/>
      <color rgb="FFFFFFFF"/>
      <name val="Arial"/>
      <charset val="1"/>
    </font>
    <font>
      <sz val="10"/>
      <name val="Arial"/>
      <charset val="1"/>
    </font>
    <font>
      <sz val="10"/>
      <color rgb="FF0000FF"/>
      <name val="Arial"/>
      <charset val="1"/>
    </font>
    <font>
      <b/>
      <sz val="10"/>
      <name val="Arial"/>
      <charset val="1"/>
    </font>
    <font>
      <sz val="11"/>
      <color theme="3" tint="-0.249977111117893"/>
      <name val="Calibri"/>
      <family val="2"/>
      <charset val="1"/>
    </font>
    <font>
      <sz val="10"/>
      <color theme="3" tint="-0.249977111117893"/>
      <name val="Arial"/>
      <family val="2"/>
    </font>
    <font>
      <sz val="10"/>
      <name val="Arial"/>
      <family val="2"/>
    </font>
  </fonts>
  <fills count="5">
    <fill>
      <patternFill patternType="none"/>
    </fill>
    <fill>
      <patternFill patternType="gray125"/>
    </fill>
    <fill>
      <patternFill patternType="solid">
        <fgColor rgb="FF1F3864"/>
        <bgColor rgb="FF333333"/>
      </patternFill>
    </fill>
    <fill>
      <patternFill patternType="solid">
        <fgColor rgb="FFFFF2CC"/>
        <bgColor rgb="FFE2EFDA"/>
      </patternFill>
    </fill>
    <fill>
      <patternFill patternType="solid">
        <fgColor rgb="FFE2EFDA"/>
        <bgColor rgb="FFFFF2C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top" wrapText="1"/>
    </xf>
    <xf numFmtId="164" fontId="3" fillId="0" borderId="1" xfId="0" applyNumberFormat="1" applyFont="1" applyBorder="1" applyAlignment="1">
      <alignment vertical="top" wrapText="1"/>
    </xf>
    <xf numFmtId="0" fontId="3" fillId="0" borderId="1" xfId="0" applyFont="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2" fillId="0" borderId="1" xfId="0" applyFont="1" applyBorder="1"/>
    <xf numFmtId="164" fontId="2" fillId="0" borderId="1" xfId="0" applyNumberFormat="1" applyFont="1" applyBorder="1"/>
    <xf numFmtId="11" fontId="2" fillId="0" borderId="1" xfId="0" applyNumberFormat="1" applyFont="1" applyBorder="1"/>
    <xf numFmtId="165" fontId="2" fillId="0" borderId="1" xfId="0" applyNumberFormat="1" applyFont="1" applyBorder="1"/>
    <xf numFmtId="0" fontId="4" fillId="0" borderId="0" xfId="0" applyFont="1"/>
    <xf numFmtId="0" fontId="2" fillId="0" borderId="0" xfId="0" applyFont="1"/>
    <xf numFmtId="0" fontId="2" fillId="0" borderId="2" xfId="0" applyFont="1" applyBorder="1" applyAlignment="1">
      <alignment vertical="top" wrapText="1"/>
    </xf>
    <xf numFmtId="0" fontId="5" fillId="0" borderId="0" xfId="0" applyFont="1"/>
    <xf numFmtId="164" fontId="6" fillId="0" borderId="1" xfId="0" applyNumberFormat="1" applyFont="1" applyBorder="1" applyAlignment="1">
      <alignment vertical="top" wrapText="1"/>
    </xf>
    <xf numFmtId="0" fontId="7" fillId="0" borderId="2"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
  <sheetViews>
    <sheetView tabSelected="1" zoomScaleNormal="100" workbookViewId="0">
      <pane ySplit="1" topLeftCell="A2" activePane="bottomLeft" state="frozen"/>
      <selection pane="bottomLeft" activeCell="G7" sqref="G7"/>
    </sheetView>
  </sheetViews>
  <sheetFormatPr defaultColWidth="8.6640625" defaultRowHeight="14.25" x14ac:dyDescent="0.45"/>
  <cols>
    <col min="1" max="1" width="16" customWidth="1"/>
    <col min="2" max="2" width="13" customWidth="1"/>
    <col min="3" max="3" width="11" customWidth="1"/>
    <col min="4" max="4" width="17" customWidth="1"/>
    <col min="5" max="5" width="30" customWidth="1"/>
    <col min="6" max="6" width="52" customWidth="1"/>
  </cols>
  <sheetData>
    <row r="1" spans="1:6" ht="15" customHeight="1" x14ac:dyDescent="0.45">
      <c r="A1" s="1" t="s">
        <v>0</v>
      </c>
      <c r="B1" s="1" t="s">
        <v>1</v>
      </c>
      <c r="C1" s="1" t="s">
        <v>2</v>
      </c>
      <c r="D1" s="1" t="s">
        <v>3</v>
      </c>
      <c r="E1" s="1" t="s">
        <v>4</v>
      </c>
      <c r="F1" s="1" t="s">
        <v>5</v>
      </c>
    </row>
    <row r="2" spans="1:6" ht="15" customHeight="1" x14ac:dyDescent="0.45">
      <c r="A2" s="2" t="s">
        <v>6</v>
      </c>
      <c r="B2" s="3">
        <v>3.8610773248606701E-3</v>
      </c>
      <c r="C2" s="2" t="s">
        <v>7</v>
      </c>
      <c r="D2" s="2" t="s">
        <v>8</v>
      </c>
      <c r="E2" s="2" t="s">
        <v>9</v>
      </c>
      <c r="F2" s="2" t="s">
        <v>10</v>
      </c>
    </row>
    <row r="3" spans="1:6" ht="15" customHeight="1" x14ac:dyDescent="0.45">
      <c r="A3" s="2" t="s">
        <v>11</v>
      </c>
      <c r="B3" s="3">
        <v>2.01663574538716</v>
      </c>
      <c r="C3" s="2" t="s">
        <v>12</v>
      </c>
      <c r="D3" s="2" t="s">
        <v>13</v>
      </c>
      <c r="E3" s="2" t="s">
        <v>14</v>
      </c>
      <c r="F3" s="2" t="s">
        <v>15</v>
      </c>
    </row>
    <row r="4" spans="1:6" ht="15" customHeight="1" x14ac:dyDescent="0.45">
      <c r="A4" s="2" t="s">
        <v>16</v>
      </c>
      <c r="B4" s="3">
        <v>2.3727251277080001</v>
      </c>
      <c r="C4" s="2" t="s">
        <v>17</v>
      </c>
      <c r="D4" s="2" t="s">
        <v>18</v>
      </c>
      <c r="E4" s="2" t="s">
        <v>19</v>
      </c>
      <c r="F4" s="2" t="s">
        <v>20</v>
      </c>
    </row>
    <row r="5" spans="1:6" ht="15" customHeight="1" x14ac:dyDescent="0.45">
      <c r="A5" s="2" t="s">
        <v>21</v>
      </c>
      <c r="B5" s="3">
        <v>7.6752836433134899E-3</v>
      </c>
      <c r="C5" s="2" t="s">
        <v>22</v>
      </c>
      <c r="D5" s="2" t="s">
        <v>23</v>
      </c>
      <c r="E5" s="2" t="s">
        <v>24</v>
      </c>
      <c r="F5" s="2" t="s">
        <v>25</v>
      </c>
    </row>
    <row r="6" spans="1:6" ht="15" customHeight="1" x14ac:dyDescent="0.45">
      <c r="A6" s="2" t="s">
        <v>26</v>
      </c>
      <c r="B6" s="3">
        <v>4.2902870664161099E-3</v>
      </c>
      <c r="C6" s="2" t="s">
        <v>7</v>
      </c>
      <c r="D6" s="2" t="s">
        <v>27</v>
      </c>
      <c r="E6" s="2" t="s">
        <v>28</v>
      </c>
      <c r="F6" s="2" t="s">
        <v>29</v>
      </c>
    </row>
    <row r="7" spans="1:6" ht="15" customHeight="1" x14ac:dyDescent="0.45">
      <c r="A7" s="2" t="s">
        <v>30</v>
      </c>
      <c r="B7" s="3">
        <v>1.5977101229200501</v>
      </c>
      <c r="C7" s="2" t="s">
        <v>12</v>
      </c>
      <c r="D7" s="2" t="s">
        <v>31</v>
      </c>
      <c r="E7" s="2" t="s">
        <v>32</v>
      </c>
      <c r="F7" s="2" t="s">
        <v>33</v>
      </c>
    </row>
    <row r="8" spans="1:6" ht="15" customHeight="1" x14ac:dyDescent="0.45">
      <c r="A8" s="2" t="s">
        <v>34</v>
      </c>
      <c r="B8" s="3">
        <v>3.2209626426155699E-2</v>
      </c>
      <c r="C8" s="2" t="s">
        <v>22</v>
      </c>
      <c r="D8" s="2" t="s">
        <v>35</v>
      </c>
      <c r="E8" s="2" t="s">
        <v>36</v>
      </c>
      <c r="F8" s="2" t="s">
        <v>37</v>
      </c>
    </row>
    <row r="9" spans="1:6" ht="15" customHeight="1" x14ac:dyDescent="0.45">
      <c r="A9" s="2" t="s">
        <v>38</v>
      </c>
      <c r="B9" s="3">
        <v>1.33214227133328</v>
      </c>
      <c r="C9" s="2" t="s">
        <v>39</v>
      </c>
      <c r="D9" s="2" t="s">
        <v>40</v>
      </c>
      <c r="E9" s="2" t="s">
        <v>41</v>
      </c>
      <c r="F9" s="2" t="s">
        <v>42</v>
      </c>
    </row>
    <row r="10" spans="1:6" ht="15" customHeight="1" x14ac:dyDescent="0.45">
      <c r="A10" s="2" t="s">
        <v>43</v>
      </c>
      <c r="B10" s="3">
        <v>0.21006453233790201</v>
      </c>
      <c r="C10" s="2" t="s">
        <v>22</v>
      </c>
      <c r="D10" s="2" t="s">
        <v>44</v>
      </c>
      <c r="E10" s="2" t="s">
        <v>45</v>
      </c>
      <c r="F10" s="2" t="s">
        <v>46</v>
      </c>
    </row>
    <row r="11" spans="1:6" ht="15" customHeight="1" x14ac:dyDescent="0.45">
      <c r="A11" s="2" t="s">
        <v>47</v>
      </c>
      <c r="B11" s="3">
        <v>4.0853060864997799E-2</v>
      </c>
      <c r="C11" s="2" t="s">
        <v>17</v>
      </c>
      <c r="D11" s="2" t="s">
        <v>48</v>
      </c>
      <c r="E11" s="2" t="s">
        <v>49</v>
      </c>
      <c r="F11" s="2" t="s">
        <v>50</v>
      </c>
    </row>
    <row r="12" spans="1:6" ht="15" customHeight="1" x14ac:dyDescent="0.45">
      <c r="A12" s="2" t="s">
        <v>51</v>
      </c>
      <c r="B12" s="3">
        <v>0.83974320985501805</v>
      </c>
      <c r="C12" s="2" t="s">
        <v>22</v>
      </c>
      <c r="D12" s="2" t="s">
        <v>52</v>
      </c>
      <c r="E12" s="2" t="s">
        <v>53</v>
      </c>
      <c r="F12" s="2" t="s">
        <v>54</v>
      </c>
    </row>
    <row r="13" spans="1:6" ht="15" customHeight="1" x14ac:dyDescent="0.45">
      <c r="A13" s="2" t="s">
        <v>55</v>
      </c>
      <c r="B13" s="15">
        <v>1.1117615468939599</v>
      </c>
      <c r="C13" s="2" t="s">
        <v>17</v>
      </c>
      <c r="D13" s="2" t="s">
        <v>56</v>
      </c>
      <c r="E13" s="2" t="s">
        <v>57</v>
      </c>
      <c r="F13" s="2" t="s">
        <v>58</v>
      </c>
    </row>
    <row r="14" spans="1:6" x14ac:dyDescent="0.45">
      <c r="A14" s="13"/>
      <c r="B14" s="14"/>
      <c r="C14" s="16"/>
      <c r="D14" s="16"/>
    </row>
  </sheetData>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zoomScaleNormal="100" workbookViewId="0"/>
  </sheetViews>
  <sheetFormatPr defaultColWidth="8.6640625" defaultRowHeight="14.25" x14ac:dyDescent="0.45"/>
  <cols>
    <col min="1" max="1" width="16" customWidth="1"/>
    <col min="2" max="2" width="13" customWidth="1"/>
    <col min="3" max="3" width="10" customWidth="1"/>
    <col min="4" max="4" width="88" customWidth="1"/>
  </cols>
  <sheetData>
    <row r="1" spans="1:4" ht="15" customHeight="1" x14ac:dyDescent="0.45">
      <c r="A1" s="1" t="s">
        <v>0</v>
      </c>
      <c r="B1" s="1" t="s">
        <v>1</v>
      </c>
      <c r="C1" s="1" t="s">
        <v>2</v>
      </c>
      <c r="D1" s="1" t="s">
        <v>59</v>
      </c>
    </row>
    <row r="2" spans="1:4" ht="23.25" customHeight="1" x14ac:dyDescent="0.45">
      <c r="A2" s="2" t="s">
        <v>60</v>
      </c>
      <c r="B2" s="4">
        <v>0.5</v>
      </c>
      <c r="C2" s="2" t="s">
        <v>17</v>
      </c>
      <c r="D2" s="2" t="s">
        <v>61</v>
      </c>
    </row>
    <row r="3" spans="1:4" ht="15" customHeight="1" x14ac:dyDescent="0.45">
      <c r="A3" s="2" t="s">
        <v>62</v>
      </c>
      <c r="B3" s="4">
        <v>0.5</v>
      </c>
      <c r="C3" s="2" t="s">
        <v>17</v>
      </c>
      <c r="D3" s="2" t="s">
        <v>63</v>
      </c>
    </row>
    <row r="4" spans="1:4" ht="23.25" customHeight="1" x14ac:dyDescent="0.45">
      <c r="A4" s="2" t="s">
        <v>64</v>
      </c>
      <c r="B4" s="4">
        <v>0.02</v>
      </c>
      <c r="C4" s="2" t="s">
        <v>22</v>
      </c>
      <c r="D4" s="2" t="s">
        <v>65</v>
      </c>
    </row>
    <row r="5" spans="1:4" ht="34.5" customHeight="1" x14ac:dyDescent="0.45">
      <c r="A5" s="2" t="s">
        <v>66</v>
      </c>
      <c r="B5" s="4">
        <v>0.1</v>
      </c>
      <c r="C5" s="2" t="s">
        <v>22</v>
      </c>
      <c r="D5" s="2" t="s">
        <v>67</v>
      </c>
    </row>
    <row r="6" spans="1:4" ht="34.5" customHeight="1" x14ac:dyDescent="0.45">
      <c r="A6" s="2" t="s">
        <v>68</v>
      </c>
      <c r="B6" s="4">
        <v>0.02</v>
      </c>
      <c r="C6" s="2" t="s">
        <v>7</v>
      </c>
      <c r="D6" s="2" t="s">
        <v>69</v>
      </c>
    </row>
    <row r="7" spans="1:4" ht="34.5" customHeight="1" x14ac:dyDescent="0.45">
      <c r="A7" s="2" t="s">
        <v>70</v>
      </c>
      <c r="B7" s="5" t="s">
        <v>71</v>
      </c>
      <c r="C7" s="2" t="s">
        <v>12</v>
      </c>
      <c r="D7" s="2" t="s">
        <v>72</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
  <sheetViews>
    <sheetView zoomScaleNormal="100" workbookViewId="0">
      <selection activeCell="C5" sqref="C5"/>
    </sheetView>
  </sheetViews>
  <sheetFormatPr defaultColWidth="8.6640625" defaultRowHeight="14.25" x14ac:dyDescent="0.45"/>
  <cols>
    <col min="1" max="1" width="6" customWidth="1"/>
    <col min="2" max="2" width="36" customWidth="1"/>
    <col min="3" max="3" width="28" customWidth="1"/>
    <col min="4" max="4" width="14" customWidth="1"/>
    <col min="5" max="5" width="11" customWidth="1"/>
    <col min="6" max="6" width="12" customWidth="1"/>
  </cols>
  <sheetData>
    <row r="1" spans="1:6" ht="15" customHeight="1" x14ac:dyDescent="0.45">
      <c r="A1" s="1" t="s">
        <v>73</v>
      </c>
      <c r="B1" s="1" t="s">
        <v>74</v>
      </c>
      <c r="C1" s="1" t="s">
        <v>4</v>
      </c>
      <c r="D1" s="1" t="s">
        <v>75</v>
      </c>
      <c r="E1" s="1" t="s">
        <v>126</v>
      </c>
      <c r="F1" s="1" t="s">
        <v>127</v>
      </c>
    </row>
    <row r="2" spans="1:6" ht="15" customHeight="1" x14ac:dyDescent="0.45">
      <c r="A2" s="2" t="s">
        <v>76</v>
      </c>
      <c r="B2" s="2" t="s">
        <v>77</v>
      </c>
      <c r="C2" s="2" t="s">
        <v>78</v>
      </c>
      <c r="D2" s="2" t="s">
        <v>79</v>
      </c>
      <c r="E2" s="6" t="s">
        <v>80</v>
      </c>
      <c r="F2" s="6" t="s">
        <v>81</v>
      </c>
    </row>
    <row r="3" spans="1:6" ht="15" customHeight="1" x14ac:dyDescent="0.45">
      <c r="A3" s="2" t="s">
        <v>82</v>
      </c>
      <c r="B3" s="2" t="s">
        <v>83</v>
      </c>
      <c r="C3" s="2" t="s">
        <v>84</v>
      </c>
      <c r="D3" s="2" t="s">
        <v>85</v>
      </c>
      <c r="E3" s="6" t="s">
        <v>86</v>
      </c>
      <c r="F3" s="6" t="s">
        <v>81</v>
      </c>
    </row>
    <row r="4" spans="1:6" ht="15" customHeight="1" x14ac:dyDescent="0.45">
      <c r="A4" s="2" t="s">
        <v>87</v>
      </c>
      <c r="B4" s="2" t="s">
        <v>88</v>
      </c>
      <c r="C4" s="2" t="s">
        <v>89</v>
      </c>
      <c r="D4" s="2" t="s">
        <v>90</v>
      </c>
      <c r="E4" s="6" t="s">
        <v>91</v>
      </c>
      <c r="F4" s="6" t="s">
        <v>81</v>
      </c>
    </row>
    <row r="5" spans="1:6" ht="15" customHeight="1" x14ac:dyDescent="0.45">
      <c r="A5" s="2" t="s">
        <v>92</v>
      </c>
      <c r="B5" s="2" t="s">
        <v>93</v>
      </c>
      <c r="C5" s="2" t="s">
        <v>32</v>
      </c>
      <c r="D5" s="2" t="s">
        <v>94</v>
      </c>
      <c r="E5" s="6" t="s">
        <v>95</v>
      </c>
      <c r="F5" s="6" t="s">
        <v>81</v>
      </c>
    </row>
    <row r="6" spans="1:6" ht="15" customHeight="1" x14ac:dyDescent="0.45">
      <c r="A6" s="2" t="s">
        <v>96</v>
      </c>
      <c r="B6" s="2" t="s">
        <v>97</v>
      </c>
      <c r="C6" s="2" t="s">
        <v>98</v>
      </c>
      <c r="D6" s="2" t="s">
        <v>99</v>
      </c>
      <c r="E6" s="6" t="s">
        <v>100</v>
      </c>
      <c r="F6" s="6" t="s">
        <v>81</v>
      </c>
    </row>
    <row r="7" spans="1:6" ht="15" customHeight="1" x14ac:dyDescent="0.45">
      <c r="A7" s="2" t="s">
        <v>101</v>
      </c>
      <c r="B7" s="2" t="s">
        <v>102</v>
      </c>
      <c r="C7" s="2" t="s">
        <v>103</v>
      </c>
      <c r="D7" s="2" t="s">
        <v>104</v>
      </c>
      <c r="E7" s="6" t="s">
        <v>105</v>
      </c>
      <c r="F7" s="6" t="s">
        <v>81</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4"/>
  <sheetViews>
    <sheetView zoomScaleNormal="100" workbookViewId="0"/>
  </sheetViews>
  <sheetFormatPr defaultColWidth="8.6640625" defaultRowHeight="14.25" x14ac:dyDescent="0.45"/>
  <cols>
    <col min="1" max="1" width="24" customWidth="1"/>
    <col min="2" max="2" width="13" customWidth="1"/>
    <col min="3" max="3" width="15" customWidth="1"/>
    <col min="4" max="4" width="13" customWidth="1"/>
    <col min="5" max="5" width="15" customWidth="1"/>
    <col min="6" max="6" width="14" customWidth="1"/>
    <col min="7" max="7" width="16" customWidth="1"/>
    <col min="8" max="8" width="15" customWidth="1"/>
  </cols>
  <sheetData>
    <row r="1" spans="1:8" ht="15" customHeight="1" x14ac:dyDescent="0.45">
      <c r="A1" s="1" t="s">
        <v>106</v>
      </c>
      <c r="B1" s="1" t="s">
        <v>107</v>
      </c>
      <c r="C1" s="1" t="s">
        <v>108</v>
      </c>
      <c r="D1" s="1" t="s">
        <v>109</v>
      </c>
      <c r="E1" s="1" t="s">
        <v>110</v>
      </c>
      <c r="F1" s="1" t="s">
        <v>111</v>
      </c>
      <c r="G1" s="1" t="s">
        <v>112</v>
      </c>
      <c r="H1" s="1" t="s">
        <v>113</v>
      </c>
    </row>
    <row r="2" spans="1:8" ht="15" customHeight="1" x14ac:dyDescent="0.45">
      <c r="A2" s="7" t="s">
        <v>114</v>
      </c>
      <c r="B2" s="8">
        <v>1.4759783477407E-2</v>
      </c>
      <c r="C2" s="8">
        <v>4.86162422782652E-2</v>
      </c>
      <c r="D2" s="8">
        <v>8.6472329368734793E-3</v>
      </c>
      <c r="E2" s="8">
        <v>0.265402420105182</v>
      </c>
      <c r="F2" s="9">
        <v>1.7200934186435701E-2</v>
      </c>
      <c r="G2" s="9">
        <v>1.7200934186435699E-3</v>
      </c>
      <c r="H2" s="10">
        <f>G2/$G$3</f>
        <v>0.3563646448472807</v>
      </c>
    </row>
    <row r="3" spans="1:8" ht="15" customHeight="1" x14ac:dyDescent="0.45">
      <c r="A3" s="7" t="s">
        <v>115</v>
      </c>
      <c r="B3" s="8">
        <v>2.94501343265837E-2</v>
      </c>
      <c r="C3" s="8">
        <v>6.7599181883781806E-2</v>
      </c>
      <c r="D3" s="8">
        <v>1.5467166076214799E-2</v>
      </c>
      <c r="E3" s="8">
        <v>0.41890179025760998</v>
      </c>
      <c r="F3" s="9">
        <v>4.8267790969575897E-2</v>
      </c>
      <c r="G3" s="9">
        <v>4.8267790969575902E-3</v>
      </c>
      <c r="H3" s="10">
        <f>G3/$G$3</f>
        <v>1</v>
      </c>
    </row>
    <row r="4" spans="1:8" ht="15" customHeight="1" x14ac:dyDescent="0.45">
      <c r="A4" s="7" t="s">
        <v>116</v>
      </c>
      <c r="B4" s="8">
        <v>2.94501343265837E-2</v>
      </c>
      <c r="C4" s="8">
        <v>6.7599181883781806E-2</v>
      </c>
      <c r="D4" s="8">
        <v>3.1851324425237498E-2</v>
      </c>
      <c r="E4" s="8">
        <v>0.15270025530419301</v>
      </c>
      <c r="F4" s="9">
        <v>3.5713690033498301E-2</v>
      </c>
      <c r="G4" s="9">
        <v>3.57136900334983E-3</v>
      </c>
      <c r="H4" s="10">
        <f>G4/$G$3</f>
        <v>0.73990728218760438</v>
      </c>
    </row>
    <row r="5" spans="1:8" ht="15" customHeight="1" x14ac:dyDescent="0.45">
      <c r="A5" s="7" t="s">
        <v>117</v>
      </c>
      <c r="B5" s="8">
        <v>2.94501343265837E-2</v>
      </c>
      <c r="C5" s="8">
        <v>6.1775160876909499E-2</v>
      </c>
      <c r="D5" s="8">
        <v>9.7823028803514199E-3</v>
      </c>
      <c r="E5" s="8">
        <v>0.41890179025760998</v>
      </c>
      <c r="F5" s="9">
        <v>3.0681992852430302E-2</v>
      </c>
      <c r="G5" s="9">
        <v>3.0681992852430299E-3</v>
      </c>
      <c r="H5" s="10">
        <f>G5/$G$3</f>
        <v>0.63566184066243547</v>
      </c>
    </row>
    <row r="6" spans="1:8" ht="15" customHeight="1" x14ac:dyDescent="0.45">
      <c r="A6" s="7" t="s">
        <v>118</v>
      </c>
      <c r="B6" s="8">
        <v>2.94501343265837E-2</v>
      </c>
      <c r="C6" s="8">
        <v>6.1775160876909499E-2</v>
      </c>
      <c r="D6" s="8">
        <v>1.60246734634431E-2</v>
      </c>
      <c r="E6" s="8">
        <v>0.15270025530419301</v>
      </c>
      <c r="F6" s="9">
        <v>1.8220012419662202E-2</v>
      </c>
      <c r="G6" s="9">
        <v>1.82200124196622E-3</v>
      </c>
      <c r="H6" s="10">
        <f>G6/$G$3</f>
        <v>0.37747765235717162</v>
      </c>
    </row>
    <row r="8" spans="1:8" ht="15" customHeight="1" x14ac:dyDescent="0.45">
      <c r="A8" s="11" t="s">
        <v>119</v>
      </c>
    </row>
    <row r="9" spans="1:8" ht="15" customHeight="1" x14ac:dyDescent="0.45">
      <c r="A9" s="12" t="s">
        <v>120</v>
      </c>
      <c r="B9" s="8">
        <f>G4/G3</f>
        <v>0.73990728218760438</v>
      </c>
    </row>
    <row r="10" spans="1:8" ht="15" customHeight="1" x14ac:dyDescent="0.45">
      <c r="A10" s="12" t="s">
        <v>121</v>
      </c>
      <c r="B10" s="8">
        <f>G5/G3</f>
        <v>0.63566184066243547</v>
      </c>
    </row>
    <row r="11" spans="1:8" ht="15" customHeight="1" x14ac:dyDescent="0.45">
      <c r="A11" s="12" t="s">
        <v>122</v>
      </c>
      <c r="B11" s="8">
        <f>G6/G3</f>
        <v>0.37747765235717162</v>
      </c>
    </row>
    <row r="12" spans="1:8" ht="15" customHeight="1" x14ac:dyDescent="0.45">
      <c r="A12" s="12" t="s">
        <v>123</v>
      </c>
      <c r="B12" s="8">
        <f>B9*B10</f>
        <v>0.47033082491491263</v>
      </c>
    </row>
    <row r="13" spans="1:8" ht="15" customHeight="1" x14ac:dyDescent="0.45">
      <c r="A13" s="12" t="s">
        <v>124</v>
      </c>
      <c r="B13" s="8">
        <f>B11/B12</f>
        <v>0.80257901961977718</v>
      </c>
    </row>
    <row r="14" spans="1:8" ht="15" customHeight="1" x14ac:dyDescent="0.45">
      <c r="A14" s="12" t="s">
        <v>125</v>
      </c>
      <c r="B14" s="8">
        <f>((1-B11)-(1-B12))*100</f>
        <v>9.2853172557740944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Free Parameters</vt:lpstr>
      <vt:lpstr>Fixed Parameters</vt:lpstr>
      <vt:lpstr>Validation</vt:lpstr>
      <vt:lpstr>Outputs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Risha Sahay</cp:lastModifiedBy>
  <cp:revision>0</cp:revision>
  <dcterms:created xsi:type="dcterms:W3CDTF">2026-07-23T19:35:45Z</dcterms:created>
  <dcterms:modified xsi:type="dcterms:W3CDTF">2026-10-06T03:10:33Z</dcterms:modified>
  <dc:language>en-US</dc:language>
</cp:coreProperties>
</file>